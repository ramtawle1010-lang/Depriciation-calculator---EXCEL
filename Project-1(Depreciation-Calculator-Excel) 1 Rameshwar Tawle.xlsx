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https://d.docs.live.net/ce7f141b76c15757/Desktop/MS-EXCEL/MS-EXCEL PROJECTS/"/>
    </mc:Choice>
  </mc:AlternateContent>
  <xr:revisionPtr revIDLastSave="0" documentId="8_{18DF0E91-C3DA-43C8-A424-F0670790BBD4}" xr6:coauthVersionLast="47" xr6:coauthVersionMax="47" xr10:uidLastSave="{00000000-0000-0000-0000-000000000000}"/>
  <bookViews>
    <workbookView xWindow="-108" yWindow="-108" windowWidth="23256" windowHeight="12456" activeTab="1" xr2:uid="{00000000-000D-0000-FFFF-FFFF00000000}"/>
  </bookViews>
  <sheets>
    <sheet name="Information" sheetId="2" r:id="rId1"/>
    <sheet name="Detail1" sheetId="4" r:id="rId2"/>
    <sheet name="Sheet1" sheetId="3" r:id="rId3"/>
    <sheet name="Depreciation Calculator" sheetId="1"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1" l="1"/>
  <c r="F23" i="1"/>
  <c r="C26" i="1"/>
  <c r="F14" i="1"/>
  <c r="F13" i="1"/>
  <c r="F12" i="1"/>
  <c r="F11" i="1"/>
  <c r="F8" i="1"/>
  <c r="D11" i="1"/>
  <c r="D23" i="1"/>
  <c r="D12" i="1" l="1"/>
  <c r="D27" i="1" l="1"/>
  <c r="D13" i="1"/>
  <c r="D14" i="1" l="1"/>
  <c r="D15" i="1" s="1"/>
  <c r="C27" i="1"/>
  <c r="D28" i="1" s="1"/>
  <c r="C28" i="1" l="1"/>
  <c r="D29" i="1" s="1"/>
  <c r="C29" i="1" s="1"/>
  <c r="D30" i="1" l="1"/>
  <c r="C30" i="1" s="1"/>
  <c r="D31" i="1" l="1"/>
  <c r="C31" i="1" s="1"/>
  <c r="D32" i="1" l="1"/>
  <c r="C32" i="1" s="1"/>
  <c r="D33" i="1" l="1"/>
  <c r="C33" i="1" s="1"/>
  <c r="D34" i="1" l="1"/>
  <c r="C34" i="1" s="1"/>
  <c r="D35" i="1" l="1"/>
  <c r="C35" i="1" s="1"/>
  <c r="D36" i="1" l="1"/>
  <c r="C36" i="1" s="1"/>
  <c r="D37" i="1" l="1"/>
  <c r="C37" i="1" s="1"/>
  <c r="D38" i="1" l="1"/>
  <c r="C38" i="1" s="1"/>
  <c r="D39" i="1" l="1"/>
  <c r="C39" i="1" s="1"/>
  <c r="D40" i="1" l="1"/>
  <c r="C40" i="1" s="1"/>
  <c r="D41" i="1" l="1"/>
  <c r="C41" i="1" s="1"/>
  <c r="D42" i="1" l="1"/>
  <c r="C42" i="1" s="1"/>
  <c r="D43" i="1" l="1"/>
  <c r="C43" i="1" s="1"/>
  <c r="D44" i="1" l="1"/>
  <c r="C44" i="1" s="1"/>
  <c r="D45" i="1" l="1"/>
  <c r="C4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MD</author>
  </authors>
  <commentList>
    <comment ref="D9" authorId="0" shapeId="0" xr:uid="{00000000-0006-0000-0100-000001000000}">
      <text>
        <r>
          <rPr>
            <b/>
            <sz val="9"/>
            <color indexed="81"/>
            <rFont val="Tahoma"/>
            <family val="2"/>
          </rPr>
          <t>In case of no scrap value, please put zero value.</t>
        </r>
      </text>
    </comment>
    <comment ref="D15" authorId="1" shapeId="0" xr:uid="{00000000-0006-0000-0100-000002000000}">
      <text>
        <r>
          <rPr>
            <b/>
            <sz val="9"/>
            <color indexed="81"/>
            <rFont val="Tahoma"/>
            <family val="2"/>
          </rPr>
          <t>Accuracy Check - This cell must be zero.</t>
        </r>
      </text>
    </comment>
    <comment ref="D21" authorId="0" shapeId="0" xr:uid="{00000000-0006-0000-0100-000003000000}">
      <text>
        <r>
          <rPr>
            <b/>
            <sz val="9"/>
            <color indexed="81"/>
            <rFont val="Tahoma"/>
            <family val="2"/>
          </rPr>
          <t>In case of diminishing depreciation scrap value cannot be zero</t>
        </r>
      </text>
    </comment>
  </commentList>
</comments>
</file>

<file path=xl/sharedStrings.xml><?xml version="1.0" encoding="utf-8"?>
<sst xmlns="http://schemas.openxmlformats.org/spreadsheetml/2006/main" count="45" uniqueCount="27">
  <si>
    <t>Asset Price</t>
  </si>
  <si>
    <t>Scrap Value</t>
  </si>
  <si>
    <t>Estimated Life Span (Years)</t>
  </si>
  <si>
    <t>Book Value</t>
  </si>
  <si>
    <t>Depreciated Book Value After Its Life Span</t>
  </si>
  <si>
    <t>Total Depreciation For Its Life Span</t>
  </si>
  <si>
    <t>Balance Amount</t>
  </si>
  <si>
    <t>Year</t>
  </si>
  <si>
    <t>Depreciation Calculator</t>
  </si>
  <si>
    <t>Depreciation / Year as per Straight Line Method</t>
  </si>
  <si>
    <t>Rate of Depreciation as per Diminishing Balance Method</t>
  </si>
  <si>
    <t>Asset Cost</t>
  </si>
  <si>
    <t>Depreciation Percentage</t>
  </si>
  <si>
    <t>Additonal Asset Cost</t>
  </si>
  <si>
    <t xml:space="preserve">Additonal Asset Cost </t>
  </si>
  <si>
    <t>Depreciation Schedule</t>
  </si>
  <si>
    <t>Diminishing Balance Method</t>
  </si>
  <si>
    <t>Straight Line Method</t>
  </si>
  <si>
    <t>Year on Year Depreciation Amount</t>
  </si>
  <si>
    <t>Coachx.live</t>
  </si>
  <si>
    <t>SL - Annual Depreciation</t>
  </si>
  <si>
    <t>SL - Ending Book Value</t>
  </si>
  <si>
    <t>DB - Annual Depreciation</t>
  </si>
  <si>
    <t>DB - Ending Book Value</t>
  </si>
  <si>
    <t>Sum of Year</t>
  </si>
  <si>
    <t>(All)</t>
  </si>
  <si>
    <t>Details for Sum of Year - SL - Annual Depreciation: 45000, DB - Annual Depreciation: 13651.7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</si>
</sst>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_ ;[Red]\-[$$-409]#,##0.00\ "/>
    <numFmt numFmtId="165" formatCode="[$$-409]#,##0.00"/>
  </numFmts>
  <fonts count="15" x14ac:knownFonts="1">
    <font>
      <sz val="11"/>
      <color theme="1"/>
      <name val="Calibri"/>
      <family val="2"/>
      <scheme val="minor"/>
    </font>
    <font>
      <sz val="14"/>
      <color theme="1"/>
      <name val="Times New Roman"/>
      <family val="1"/>
    </font>
    <font>
      <b/>
      <sz val="9"/>
      <color indexed="81"/>
      <name val="Tahoma"/>
      <family val="2"/>
    </font>
    <font>
      <u/>
      <sz val="11"/>
      <color theme="10"/>
      <name val="Calibri"/>
      <family val="2"/>
    </font>
    <font>
      <sz val="14"/>
      <color theme="0"/>
      <name val="Times New Roman"/>
      <family val="1"/>
    </font>
    <font>
      <b/>
      <sz val="20"/>
      <color theme="0"/>
      <name val="Cambria"/>
      <family val="1"/>
      <scheme val="major"/>
    </font>
    <font>
      <b/>
      <sz val="14"/>
      <color theme="0"/>
      <name val="Times New Roman"/>
      <family val="1"/>
    </font>
    <font>
      <u/>
      <sz val="25"/>
      <color rgb="FFFFFF00"/>
      <name val="Lucida Calligraphy"/>
      <family val="4"/>
    </font>
    <font>
      <b/>
      <sz val="20"/>
      <color theme="0"/>
      <name val="Times New Roman"/>
      <family val="1"/>
    </font>
    <font>
      <b/>
      <sz val="18"/>
      <color theme="0"/>
      <name val="Times New Roman"/>
      <family val="1"/>
    </font>
    <font>
      <b/>
      <sz val="11"/>
      <color theme="0"/>
      <name val="Calibri"/>
      <family val="2"/>
      <scheme val="minor"/>
    </font>
    <font>
      <b/>
      <sz val="11"/>
      <color theme="1"/>
      <name val="Calibri"/>
      <family val="2"/>
      <scheme val="minor"/>
    </font>
    <font>
      <sz val="11"/>
      <color rgb="FF1F1F1F"/>
      <name val="Arial"/>
      <family val="2"/>
    </font>
    <font>
      <b/>
      <sz val="11"/>
      <color rgb="FF1F1F1F"/>
      <name val="Arial"/>
      <family val="2"/>
    </font>
    <font>
      <b/>
      <sz val="14"/>
      <color theme="1"/>
      <name val="Times New Roman"/>
      <family val="1"/>
    </font>
  </fonts>
  <fills count="9">
    <fill>
      <patternFill patternType="none"/>
    </fill>
    <fill>
      <patternFill patternType="gray125"/>
    </fill>
    <fill>
      <patternFill patternType="solid">
        <fgColor theme="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
      <patternFill patternType="solid">
        <fgColor theme="3" tint="0.59999389629810485"/>
        <bgColor indexed="64"/>
      </patternFill>
    </fill>
  </fills>
  <borders count="24">
    <border>
      <left/>
      <right/>
      <top/>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diagonal/>
    </border>
    <border>
      <left style="thick">
        <color theme="0"/>
      </left>
      <right style="thick">
        <color theme="0"/>
      </right>
      <top/>
      <bottom style="thick">
        <color theme="0"/>
      </bottom>
      <diagonal/>
    </border>
    <border>
      <left style="thick">
        <color theme="0"/>
      </left>
      <right/>
      <top style="thick">
        <color theme="0"/>
      </top>
      <bottom style="thick">
        <color theme="0"/>
      </bottom>
      <diagonal/>
    </border>
    <border>
      <left/>
      <right/>
      <top style="thick">
        <color theme="0"/>
      </top>
      <bottom style="thick">
        <color theme="0"/>
      </bottom>
      <diagonal/>
    </border>
    <border>
      <left style="medium">
        <color rgb="FF000000"/>
      </left>
      <right style="medium">
        <color rgb="FF000000"/>
      </right>
      <top style="medium">
        <color rgb="FF000000"/>
      </top>
      <bottom style="medium">
        <color rgb="FF000000"/>
      </bottom>
      <diagonal/>
    </border>
    <border>
      <left style="thin">
        <color theme="0"/>
      </left>
      <right style="thin">
        <color theme="0"/>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theme="0"/>
      </right>
      <top style="medium">
        <color indexed="64"/>
      </top>
      <bottom style="thick">
        <color theme="0"/>
      </bottom>
      <diagonal/>
    </border>
    <border>
      <left style="thin">
        <color theme="0"/>
      </left>
      <right style="thin">
        <color theme="0"/>
      </right>
      <top style="medium">
        <color indexed="64"/>
      </top>
      <bottom style="thick">
        <color theme="0"/>
      </bottom>
      <diagonal/>
    </border>
    <border>
      <left style="medium">
        <color rgb="FF000000"/>
      </left>
      <right style="medium">
        <color indexed="64"/>
      </right>
      <top style="medium">
        <color indexed="64"/>
      </top>
      <bottom style="medium">
        <color rgb="FF000000"/>
      </bottom>
      <diagonal/>
    </border>
    <border>
      <left style="medium">
        <color indexed="64"/>
      </left>
      <right style="thin">
        <color theme="0"/>
      </right>
      <top style="thin">
        <color theme="0"/>
      </top>
      <bottom style="thin">
        <color theme="0"/>
      </bottom>
      <diagonal/>
    </border>
    <border>
      <left style="medium">
        <color rgb="FF000000"/>
      </left>
      <right style="medium">
        <color indexed="64"/>
      </right>
      <top style="medium">
        <color rgb="FF000000"/>
      </top>
      <bottom style="medium">
        <color rgb="FF000000"/>
      </bottom>
      <diagonal/>
    </border>
    <border>
      <left style="medium">
        <color indexed="64"/>
      </left>
      <right style="thin">
        <color theme="0"/>
      </right>
      <top style="thin">
        <color theme="0"/>
      </top>
      <bottom style="medium">
        <color indexed="64"/>
      </bottom>
      <diagonal/>
    </border>
    <border>
      <left style="thin">
        <color theme="0"/>
      </left>
      <right style="thin">
        <color theme="0"/>
      </right>
      <top style="thin">
        <color theme="0"/>
      </top>
      <bottom style="medium">
        <color indexed="64"/>
      </bottom>
      <diagonal/>
    </border>
    <border>
      <left style="medium">
        <color rgb="FF000000"/>
      </left>
      <right style="medium">
        <color indexed="64"/>
      </right>
      <top style="medium">
        <color rgb="FF000000"/>
      </top>
      <bottom style="medium">
        <color indexed="64"/>
      </bottom>
      <diagonal/>
    </border>
    <border>
      <left style="thin">
        <color theme="0"/>
      </left>
      <right style="medium">
        <color indexed="64"/>
      </right>
      <top style="medium">
        <color indexed="64"/>
      </top>
      <bottom style="thick">
        <color theme="0"/>
      </bottom>
      <diagonal/>
    </border>
    <border>
      <left style="thin">
        <color theme="0"/>
      </left>
      <right style="medium">
        <color indexed="64"/>
      </right>
      <top style="thin">
        <color theme="0"/>
      </top>
      <bottom style="thin">
        <color theme="0"/>
      </bottom>
      <diagonal/>
    </border>
    <border>
      <left style="thin">
        <color theme="0"/>
      </left>
      <right style="medium">
        <color indexed="64"/>
      </right>
      <top style="thin">
        <color theme="0"/>
      </top>
      <bottom style="medium">
        <color indexed="64"/>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53">
    <xf numFmtId="0" fontId="0" fillId="0" borderId="0" xfId="0"/>
    <xf numFmtId="0" fontId="1" fillId="0" borderId="0" xfId="0" applyFont="1" applyAlignment="1">
      <alignment horizontal="center" vertical="center"/>
    </xf>
    <xf numFmtId="0" fontId="4"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xf>
    <xf numFmtId="164" fontId="6" fillId="2" borderId="1" xfId="0" applyNumberFormat="1" applyFont="1" applyFill="1" applyBorder="1" applyAlignment="1">
      <alignment horizontal="center" vertical="center"/>
    </xf>
    <xf numFmtId="0" fontId="4" fillId="3" borderId="0" xfId="0" applyFont="1" applyFill="1" applyAlignment="1">
      <alignment horizontal="center" vertical="center"/>
    </xf>
    <xf numFmtId="10" fontId="6" fillId="2"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0" fontId="1" fillId="3" borderId="0" xfId="0" applyFont="1" applyFill="1" applyAlignment="1">
      <alignment horizontal="center" vertical="center"/>
    </xf>
    <xf numFmtId="164" fontId="6" fillId="4" borderId="1" xfId="0" applyNumberFormat="1" applyFont="1" applyFill="1" applyBorder="1" applyAlignment="1">
      <alignment horizontal="center" vertical="center"/>
    </xf>
    <xf numFmtId="0" fontId="6" fillId="4" borderId="1" xfId="0" applyFont="1" applyFill="1" applyBorder="1" applyAlignment="1">
      <alignment horizontal="center" vertical="center"/>
    </xf>
    <xf numFmtId="4" fontId="12" fillId="0" borderId="6" xfId="0" applyNumberFormat="1" applyFont="1" applyBorder="1" applyAlignment="1">
      <alignment vertical="center" wrapText="1" readingOrder="1"/>
    </xf>
    <xf numFmtId="0" fontId="0" fillId="0" borderId="0" xfId="0" pivotButton="1"/>
    <xf numFmtId="0" fontId="0" fillId="7" borderId="7" xfId="0" applyFill="1" applyBorder="1"/>
    <xf numFmtId="0" fontId="0" fillId="5" borderId="7" xfId="0" applyFill="1" applyBorder="1"/>
    <xf numFmtId="0" fontId="11" fillId="0" borderId="0" xfId="0" applyFont="1"/>
    <xf numFmtId="0" fontId="6" fillId="2" borderId="4" xfId="0" applyFont="1" applyFill="1" applyBorder="1" applyAlignment="1">
      <alignment horizontal="right" vertical="center" indent="4"/>
    </xf>
    <xf numFmtId="0" fontId="6" fillId="2" borderId="5" xfId="0" applyFont="1" applyFill="1" applyBorder="1" applyAlignment="1">
      <alignment horizontal="right" vertical="center" indent="4"/>
    </xf>
    <xf numFmtId="0" fontId="8" fillId="2" borderId="1" xfId="0" applyFont="1" applyFill="1" applyBorder="1" applyAlignment="1">
      <alignment horizontal="center" vertical="center"/>
    </xf>
    <xf numFmtId="0" fontId="6" fillId="2" borderId="1" xfId="0" applyFont="1" applyFill="1" applyBorder="1" applyAlignment="1">
      <alignment horizontal="right" vertical="center" indent="4"/>
    </xf>
    <xf numFmtId="0" fontId="7" fillId="2" borderId="1" xfId="1" applyFont="1" applyFill="1" applyBorder="1" applyAlignment="1" applyProtection="1">
      <alignment horizontal="center" vertical="center"/>
    </xf>
    <xf numFmtId="0" fontId="5"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6" fillId="2" borderId="1" xfId="0" applyFont="1" applyFill="1" applyBorder="1" applyAlignment="1">
      <alignment horizontal="right" vertical="center" wrapText="1" indent="4"/>
    </xf>
    <xf numFmtId="0" fontId="9" fillId="2" borderId="1" xfId="0" applyFont="1" applyFill="1" applyBorder="1" applyAlignment="1">
      <alignment horizontal="center" vertical="center"/>
    </xf>
    <xf numFmtId="164" fontId="14" fillId="0" borderId="8" xfId="0" applyNumberFormat="1" applyFont="1" applyBorder="1" applyAlignment="1">
      <alignment horizontal="center" vertical="center"/>
    </xf>
    <xf numFmtId="164" fontId="14" fillId="0" borderId="9" xfId="0" applyNumberFormat="1" applyFont="1" applyBorder="1" applyAlignment="1">
      <alignment horizontal="center" vertical="center"/>
    </xf>
    <xf numFmtId="0" fontId="14" fillId="0" borderId="9" xfId="0" applyFont="1" applyBorder="1" applyAlignment="1">
      <alignment horizontal="center" vertical="center"/>
    </xf>
    <xf numFmtId="0" fontId="13" fillId="8" borderId="6" xfId="0" applyFont="1" applyFill="1" applyBorder="1" applyAlignment="1">
      <alignment vertical="center" wrapText="1" readingOrder="1"/>
    </xf>
    <xf numFmtId="0" fontId="12" fillId="0" borderId="6" xfId="0" applyFont="1" applyBorder="1" applyAlignment="1">
      <alignment horizontal="center" vertical="center" wrapText="1" readingOrder="1"/>
    </xf>
    <xf numFmtId="0" fontId="14" fillId="0" borderId="8" xfId="0" applyFont="1" applyBorder="1" applyAlignment="1">
      <alignment horizontal="center" vertical="center"/>
    </xf>
    <xf numFmtId="0" fontId="0" fillId="0" borderId="0" xfId="0" applyNumberFormat="1"/>
    <xf numFmtId="4" fontId="0" fillId="0" borderId="0" xfId="0" applyNumberFormat="1" applyAlignment="1">
      <alignment horizontal="left"/>
    </xf>
    <xf numFmtId="0" fontId="10" fillId="6" borderId="10" xfId="0" applyFont="1" applyFill="1" applyBorder="1"/>
    <xf numFmtId="0" fontId="10" fillId="6" borderId="11" xfId="0" applyFont="1" applyFill="1" applyBorder="1"/>
    <xf numFmtId="0" fontId="13" fillId="6" borderId="12" xfId="0" applyFont="1" applyFill="1" applyBorder="1" applyAlignment="1">
      <alignment vertical="center" wrapText="1" readingOrder="1"/>
    </xf>
    <xf numFmtId="0" fontId="0" fillId="7" borderId="13" xfId="0" applyFill="1" applyBorder="1"/>
    <xf numFmtId="4" fontId="12" fillId="7" borderId="14" xfId="0" applyNumberFormat="1" applyFont="1" applyFill="1" applyBorder="1" applyAlignment="1">
      <alignment vertical="center" wrapText="1" readingOrder="1"/>
    </xf>
    <xf numFmtId="0" fontId="0" fillId="5" borderId="13" xfId="0" applyFill="1" applyBorder="1"/>
    <xf numFmtId="4" fontId="12" fillId="5" borderId="14" xfId="0" applyNumberFormat="1" applyFont="1" applyFill="1" applyBorder="1" applyAlignment="1">
      <alignment vertical="center" wrapText="1" readingOrder="1"/>
    </xf>
    <xf numFmtId="0" fontId="0" fillId="5" borderId="15" xfId="0" applyFill="1" applyBorder="1"/>
    <xf numFmtId="0" fontId="0" fillId="5" borderId="16" xfId="0" applyFill="1" applyBorder="1"/>
    <xf numFmtId="4" fontId="12" fillId="5" borderId="17" xfId="0" applyNumberFormat="1" applyFont="1" applyFill="1" applyBorder="1" applyAlignment="1">
      <alignment vertical="center" wrapText="1" readingOrder="1"/>
    </xf>
    <xf numFmtId="0" fontId="10" fillId="6" borderId="18" xfId="0" applyFont="1" applyFill="1" applyBorder="1"/>
    <xf numFmtId="0" fontId="0" fillId="7" borderId="19" xfId="0" applyFill="1" applyBorder="1"/>
    <xf numFmtId="0" fontId="0" fillId="5" borderId="19" xfId="0" applyFill="1" applyBorder="1"/>
    <xf numFmtId="0" fontId="0" fillId="5" borderId="20" xfId="0" applyFill="1" applyBorder="1"/>
    <xf numFmtId="0" fontId="0" fillId="0" borderId="0" xfId="0" applyBorder="1"/>
    <xf numFmtId="0" fontId="13" fillId="0" borderId="21" xfId="0" applyFont="1" applyBorder="1" applyAlignment="1">
      <alignment vertical="center" wrapText="1" readingOrder="1"/>
    </xf>
    <xf numFmtId="4" fontId="12" fillId="0" borderId="22" xfId="0" applyNumberFormat="1" applyFont="1" applyBorder="1" applyAlignment="1">
      <alignment vertical="center" wrapText="1" readingOrder="1"/>
    </xf>
    <xf numFmtId="4" fontId="12" fillId="0" borderId="23" xfId="0" applyNumberFormat="1" applyFont="1" applyBorder="1" applyAlignment="1">
      <alignment vertical="center" wrapText="1" readingOrder="1"/>
    </xf>
  </cellXfs>
  <cellStyles count="2">
    <cellStyle name="Hyperlink" xfId="1" builtinId="8"/>
    <cellStyle name="Normal" xfId="0" builtinId="0"/>
  </cellStyles>
  <dxfs count="2">
    <dxf>
      <font>
        <b val="0"/>
        <i val="0"/>
        <strike val="0"/>
        <condense val="0"/>
        <extend val="0"/>
        <outline val="0"/>
        <shadow val="0"/>
        <u val="none"/>
        <vertAlign val="baseline"/>
        <sz val="11"/>
        <color rgb="FF1F1F1F"/>
        <name val="Arial"/>
        <family val="2"/>
        <scheme val="none"/>
      </font>
      <numFmt numFmtId="4" formatCode="#,##0.00"/>
      <alignment horizontal="general" vertical="center" textRotation="0" wrapText="1" indent="0" justifyLastLine="0" shrinkToFit="0" readingOrder="1"/>
      <border diagonalUp="0" diagonalDown="0">
        <left style="medium">
          <color rgb="FF000000"/>
        </left>
        <right/>
        <top style="medium">
          <color rgb="FF000000"/>
        </top>
        <bottom style="medium">
          <color rgb="FF000000"/>
        </bottom>
        <vertical/>
        <horizontal/>
      </border>
    </dxf>
    <dxf>
      <border diagonalUp="0" diagonalDown="0">
        <left style="medium">
          <color indexed="64"/>
        </left>
        <right style="medium">
          <color indexed="64"/>
        </right>
        <top style="medium">
          <color indexed="64"/>
        </top>
        <bottom style="medium">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Annual Depriciation Expense Comparison</a:t>
            </a:r>
          </a:p>
        </c:rich>
      </c:tx>
      <c:layout>
        <c:manualLayout>
          <c:xMode val="edge"/>
          <c:yMode val="edge"/>
          <c:x val="0.1356796075652133"/>
          <c:y val="1.0309278350515464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manualLayout>
          <c:layoutTarget val="inner"/>
          <c:xMode val="edge"/>
          <c:yMode val="edge"/>
          <c:x val="8.4614274464414829E-2"/>
          <c:y val="0.12509619287279811"/>
          <c:w val="0.87900140111820868"/>
          <c:h val="0.67757670121743252"/>
        </c:manualLayout>
      </c:layout>
      <c:barChart>
        <c:barDir val="col"/>
        <c:grouping val="clustered"/>
        <c:varyColors val="0"/>
        <c:ser>
          <c:idx val="0"/>
          <c:order val="0"/>
          <c:tx>
            <c:strRef>
              <c:f>Detail1!$A$19</c:f>
              <c:strCache>
                <c:ptCount val="1"/>
                <c:pt idx="0">
                  <c:v>Year</c:v>
                </c:pt>
              </c:strCache>
            </c:strRef>
          </c:tx>
          <c:spPr>
            <a:noFill/>
            <a:ln w="9525" cap="flat" cmpd="sng" algn="ctr">
              <a:solidFill>
                <a:schemeClr val="accent5">
                  <a:shade val="65000"/>
                </a:schemeClr>
              </a:solidFill>
              <a:miter lim="800000"/>
            </a:ln>
            <a:effectLst>
              <a:glow rad="63500">
                <a:schemeClr val="accent5">
                  <a:shade val="65000"/>
                  <a:satMod val="175000"/>
                  <a:alpha val="25000"/>
                </a:schemeClr>
              </a:glow>
            </a:effectLst>
          </c:spPr>
          <c:invertIfNegative val="0"/>
          <c:val>
            <c:numRef>
              <c:f>Detail1!$A$20:$A$29</c:f>
              <c:numCache>
                <c:formatCode>General</c:formatCode>
                <c:ptCount val="10"/>
                <c:pt idx="0">
                  <c:v>1</c:v>
                </c:pt>
                <c:pt idx="1">
                  <c:v>2</c:v>
                </c:pt>
                <c:pt idx="2">
                  <c:v>3</c:v>
                </c:pt>
                <c:pt idx="3">
                  <c:v>4</c:v>
                </c:pt>
                <c:pt idx="4">
                  <c:v>5</c:v>
                </c:pt>
                <c:pt idx="5">
                  <c:v>6</c:v>
                </c:pt>
                <c:pt idx="6">
                  <c:v>7</c:v>
                </c:pt>
                <c:pt idx="7">
                  <c:v>8</c:v>
                </c:pt>
                <c:pt idx="8">
                  <c:v>9</c:v>
                </c:pt>
                <c:pt idx="9">
                  <c:v>10</c:v>
                </c:pt>
              </c:numCache>
            </c:numRef>
          </c:val>
          <c:extLst>
            <c:ext xmlns:c16="http://schemas.microsoft.com/office/drawing/2014/chart" uri="{C3380CC4-5D6E-409C-BE32-E72D297353CC}">
              <c16:uniqueId val="{00000000-C39F-412B-AA43-696244B8AF7F}"/>
            </c:ext>
          </c:extLst>
        </c:ser>
        <c:ser>
          <c:idx val="1"/>
          <c:order val="1"/>
          <c:tx>
            <c:strRef>
              <c:f>Detail1!$B$19</c:f>
              <c:strCache>
                <c:ptCount val="1"/>
                <c:pt idx="0">
                  <c:v>SL - Annual Depreciation</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val>
            <c:numRef>
              <c:f>Detail1!$B$20:$B$29</c:f>
              <c:numCache>
                <c:formatCode>General</c:formatCode>
                <c:ptCount val="10"/>
                <c:pt idx="0">
                  <c:v>45000</c:v>
                </c:pt>
                <c:pt idx="1">
                  <c:v>45000</c:v>
                </c:pt>
                <c:pt idx="2">
                  <c:v>45000</c:v>
                </c:pt>
                <c:pt idx="3">
                  <c:v>45000</c:v>
                </c:pt>
                <c:pt idx="4">
                  <c:v>45000</c:v>
                </c:pt>
                <c:pt idx="5">
                  <c:v>45000</c:v>
                </c:pt>
                <c:pt idx="6">
                  <c:v>45000</c:v>
                </c:pt>
                <c:pt idx="7">
                  <c:v>45000</c:v>
                </c:pt>
                <c:pt idx="8">
                  <c:v>45000</c:v>
                </c:pt>
                <c:pt idx="9">
                  <c:v>45000</c:v>
                </c:pt>
              </c:numCache>
            </c:numRef>
          </c:val>
          <c:extLst>
            <c:ext xmlns:c16="http://schemas.microsoft.com/office/drawing/2014/chart" uri="{C3380CC4-5D6E-409C-BE32-E72D297353CC}">
              <c16:uniqueId val="{00000001-C39F-412B-AA43-696244B8AF7F}"/>
            </c:ext>
          </c:extLst>
        </c:ser>
        <c:ser>
          <c:idx val="2"/>
          <c:order val="2"/>
          <c:tx>
            <c:strRef>
              <c:f>Detail1!$C$19</c:f>
              <c:strCache>
                <c:ptCount val="1"/>
                <c:pt idx="0">
                  <c:v>DB - Annual Depreciation</c:v>
                </c:pt>
              </c:strCache>
            </c:strRef>
          </c:tx>
          <c:spPr>
            <a:noFill/>
            <a:ln w="9525" cap="flat" cmpd="sng" algn="ctr">
              <a:solidFill>
                <a:schemeClr val="accent5">
                  <a:tint val="65000"/>
                </a:schemeClr>
              </a:solidFill>
              <a:miter lim="800000"/>
            </a:ln>
            <a:effectLst>
              <a:glow rad="63500">
                <a:schemeClr val="accent5">
                  <a:tint val="65000"/>
                  <a:satMod val="175000"/>
                  <a:alpha val="25000"/>
                </a:schemeClr>
              </a:glow>
            </a:effectLst>
          </c:spPr>
          <c:invertIfNegative val="0"/>
          <c:val>
            <c:numRef>
              <c:f>Detail1!$C$20:$C$29</c:f>
              <c:numCache>
                <c:formatCode>General</c:formatCode>
                <c:ptCount val="10"/>
                <c:pt idx="0">
                  <c:v>98629.2</c:v>
                </c:pt>
                <c:pt idx="1">
                  <c:v>79173.77</c:v>
                </c:pt>
                <c:pt idx="2">
                  <c:v>63556.1</c:v>
                </c:pt>
                <c:pt idx="3">
                  <c:v>51019.1</c:v>
                </c:pt>
                <c:pt idx="4">
                  <c:v>40955.199999999997</c:v>
                </c:pt>
                <c:pt idx="5">
                  <c:v>32876.400000000001</c:v>
                </c:pt>
                <c:pt idx="6">
                  <c:v>26391.3</c:v>
                </c:pt>
                <c:pt idx="7">
                  <c:v>21185.4</c:v>
                </c:pt>
                <c:pt idx="8">
                  <c:v>17006.400000000001</c:v>
                </c:pt>
                <c:pt idx="9">
                  <c:v>13651.7</c:v>
                </c:pt>
              </c:numCache>
            </c:numRef>
          </c:val>
          <c:extLst>
            <c:ext xmlns:c16="http://schemas.microsoft.com/office/drawing/2014/chart" uri="{C3380CC4-5D6E-409C-BE32-E72D297353CC}">
              <c16:uniqueId val="{00000002-C39F-412B-AA43-696244B8AF7F}"/>
            </c:ext>
          </c:extLst>
        </c:ser>
        <c:dLbls>
          <c:showLegendKey val="0"/>
          <c:showVal val="0"/>
          <c:showCatName val="0"/>
          <c:showSerName val="0"/>
          <c:showPercent val="0"/>
          <c:showBubbleSize val="0"/>
        </c:dLbls>
        <c:gapWidth val="315"/>
        <c:overlap val="-40"/>
        <c:axId val="572805072"/>
        <c:axId val="572806032"/>
      </c:barChart>
      <c:catAx>
        <c:axId val="57280507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2806032"/>
        <c:crosses val="autoZero"/>
        <c:auto val="1"/>
        <c:lblAlgn val="ctr"/>
        <c:lblOffset val="100"/>
        <c:noMultiLvlLbl val="0"/>
      </c:catAx>
      <c:valAx>
        <c:axId val="5728060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2805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Ending Book Value Comparison</a:t>
            </a:r>
          </a:p>
        </c:rich>
      </c:tx>
      <c:layout>
        <c:manualLayout>
          <c:xMode val="edge"/>
          <c:yMode val="edge"/>
          <c:x val="0.27060411198600176"/>
          <c:y val="5.092592592592592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Detail1!$E$19</c:f>
              <c:strCache>
                <c:ptCount val="1"/>
                <c:pt idx="0">
                  <c:v>Year</c:v>
                </c:pt>
              </c:strCache>
            </c:strRef>
          </c:tx>
          <c:spPr>
            <a:ln w="22225" cap="rnd">
              <a:solidFill>
                <a:schemeClr val="accent1"/>
              </a:solidFill>
            </a:ln>
            <a:effectLst>
              <a:glow rad="139700">
                <a:schemeClr val="accent1">
                  <a:satMod val="175000"/>
                  <a:alpha val="14000"/>
                </a:schemeClr>
              </a:glow>
            </a:effectLst>
          </c:spPr>
          <c:marker>
            <c:symbol val="none"/>
          </c:marker>
          <c:val>
            <c:numRef>
              <c:f>Detail1!$E$20:$E$29</c:f>
              <c:numCache>
                <c:formatCode>General</c:formatCode>
                <c:ptCount val="10"/>
                <c:pt idx="0">
                  <c:v>1</c:v>
                </c:pt>
                <c:pt idx="1">
                  <c:v>2</c:v>
                </c:pt>
                <c:pt idx="2">
                  <c:v>3</c:v>
                </c:pt>
                <c:pt idx="3">
                  <c:v>4</c:v>
                </c:pt>
                <c:pt idx="4">
                  <c:v>5</c:v>
                </c:pt>
                <c:pt idx="5">
                  <c:v>6</c:v>
                </c:pt>
                <c:pt idx="6">
                  <c:v>7</c:v>
                </c:pt>
                <c:pt idx="7">
                  <c:v>8</c:v>
                </c:pt>
                <c:pt idx="8">
                  <c:v>9</c:v>
                </c:pt>
                <c:pt idx="9">
                  <c:v>10</c:v>
                </c:pt>
              </c:numCache>
            </c:numRef>
          </c:val>
          <c:smooth val="0"/>
          <c:extLst>
            <c:ext xmlns:c16="http://schemas.microsoft.com/office/drawing/2014/chart" uri="{C3380CC4-5D6E-409C-BE32-E72D297353CC}">
              <c16:uniqueId val="{00000000-F317-4CCF-98B4-297ECFD0E8FC}"/>
            </c:ext>
          </c:extLst>
        </c:ser>
        <c:ser>
          <c:idx val="1"/>
          <c:order val="1"/>
          <c:tx>
            <c:strRef>
              <c:f>Detail1!$F$19</c:f>
              <c:strCache>
                <c:ptCount val="1"/>
                <c:pt idx="0">
                  <c:v>DB - Ending Book Value</c:v>
                </c:pt>
              </c:strCache>
            </c:strRef>
          </c:tx>
          <c:spPr>
            <a:ln w="22225" cap="rnd">
              <a:solidFill>
                <a:schemeClr val="accent3"/>
              </a:solidFill>
            </a:ln>
            <a:effectLst>
              <a:glow rad="139700">
                <a:schemeClr val="accent3">
                  <a:satMod val="175000"/>
                  <a:alpha val="14000"/>
                </a:schemeClr>
              </a:glow>
            </a:effectLst>
          </c:spPr>
          <c:marker>
            <c:symbol val="none"/>
          </c:marker>
          <c:val>
            <c:numRef>
              <c:f>Detail1!$F$20:$F$29</c:f>
              <c:numCache>
                <c:formatCode>General</c:formatCode>
                <c:ptCount val="10"/>
                <c:pt idx="0">
                  <c:v>401371</c:v>
                </c:pt>
                <c:pt idx="1">
                  <c:v>322197</c:v>
                </c:pt>
                <c:pt idx="2">
                  <c:v>258641</c:v>
                </c:pt>
                <c:pt idx="3">
                  <c:v>207622</c:v>
                </c:pt>
                <c:pt idx="4">
                  <c:v>166667</c:v>
                </c:pt>
                <c:pt idx="5">
                  <c:v>133790</c:v>
                </c:pt>
                <c:pt idx="6">
                  <c:v>107399</c:v>
                </c:pt>
                <c:pt idx="7">
                  <c:v>86213.6</c:v>
                </c:pt>
                <c:pt idx="8">
                  <c:v>69207.3</c:v>
                </c:pt>
                <c:pt idx="9">
                  <c:v>55555.6</c:v>
                </c:pt>
              </c:numCache>
            </c:numRef>
          </c:val>
          <c:smooth val="0"/>
          <c:extLst>
            <c:ext xmlns:c16="http://schemas.microsoft.com/office/drawing/2014/chart" uri="{C3380CC4-5D6E-409C-BE32-E72D297353CC}">
              <c16:uniqueId val="{00000001-F317-4CCF-98B4-297ECFD0E8FC}"/>
            </c:ext>
          </c:extLst>
        </c:ser>
        <c:ser>
          <c:idx val="2"/>
          <c:order val="2"/>
          <c:tx>
            <c:strRef>
              <c:f>Detail1!$G$19</c:f>
              <c:strCache>
                <c:ptCount val="1"/>
                <c:pt idx="0">
                  <c:v>SL - Ending Book Value</c:v>
                </c:pt>
              </c:strCache>
            </c:strRef>
          </c:tx>
          <c:spPr>
            <a:ln w="22225" cap="rnd">
              <a:solidFill>
                <a:schemeClr val="accent5"/>
              </a:solidFill>
            </a:ln>
            <a:effectLst>
              <a:glow rad="139700">
                <a:schemeClr val="accent5">
                  <a:satMod val="175000"/>
                  <a:alpha val="14000"/>
                </a:schemeClr>
              </a:glow>
            </a:effectLst>
          </c:spPr>
          <c:marker>
            <c:symbol val="none"/>
          </c:marker>
          <c:val>
            <c:numRef>
              <c:f>Detail1!$G$20:$G$29</c:f>
              <c:numCache>
                <c:formatCode>#,##0.00</c:formatCode>
                <c:ptCount val="10"/>
                <c:pt idx="0">
                  <c:v>455000</c:v>
                </c:pt>
                <c:pt idx="1">
                  <c:v>410000</c:v>
                </c:pt>
                <c:pt idx="2">
                  <c:v>365000</c:v>
                </c:pt>
                <c:pt idx="3">
                  <c:v>320000</c:v>
                </c:pt>
                <c:pt idx="4">
                  <c:v>275000</c:v>
                </c:pt>
                <c:pt idx="5">
                  <c:v>230000</c:v>
                </c:pt>
                <c:pt idx="6">
                  <c:v>185000</c:v>
                </c:pt>
                <c:pt idx="7">
                  <c:v>140000</c:v>
                </c:pt>
                <c:pt idx="8">
                  <c:v>95000</c:v>
                </c:pt>
                <c:pt idx="9">
                  <c:v>50000</c:v>
                </c:pt>
              </c:numCache>
            </c:numRef>
          </c:val>
          <c:smooth val="0"/>
          <c:extLst>
            <c:ext xmlns:c16="http://schemas.microsoft.com/office/drawing/2014/chart" uri="{C3380CC4-5D6E-409C-BE32-E72D297353CC}">
              <c16:uniqueId val="{00000002-F317-4CCF-98B4-297ECFD0E8FC}"/>
            </c:ext>
          </c:extLst>
        </c:ser>
        <c:dLbls>
          <c:showLegendKey val="0"/>
          <c:showVal val="0"/>
          <c:showCatName val="0"/>
          <c:showSerName val="0"/>
          <c:showPercent val="0"/>
          <c:showBubbleSize val="0"/>
        </c:dLbls>
        <c:smooth val="0"/>
        <c:axId val="572816592"/>
        <c:axId val="572817072"/>
      </c:lineChart>
      <c:catAx>
        <c:axId val="57281659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2817072"/>
        <c:crosses val="autoZero"/>
        <c:auto val="1"/>
        <c:lblAlgn val="ctr"/>
        <c:lblOffset val="100"/>
        <c:noMultiLvlLbl val="0"/>
      </c:catAx>
      <c:valAx>
        <c:axId val="5728170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281659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361950</xdr:colOff>
      <xdr:row>1</xdr:row>
      <xdr:rowOff>28575</xdr:rowOff>
    </xdr:from>
    <xdr:to>
      <xdr:col>26</xdr:col>
      <xdr:colOff>247650</xdr:colOff>
      <xdr:row>5</xdr:row>
      <xdr:rowOff>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581150" y="219075"/>
          <a:ext cx="14516100" cy="733425"/>
        </a:xfrm>
        <a:prstGeom prst="rect">
          <a:avLst/>
        </a:prstGeom>
        <a:solidFill>
          <a:schemeClr val="tx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a:solidFill>
                <a:srgbClr val="7030A0"/>
              </a:solidFill>
              <a:effectLst/>
              <a:latin typeface="+mn-lt"/>
              <a:ea typeface="+mn-ea"/>
              <a:cs typeface="+mn-cs"/>
            </a:rPr>
            <a:t>     </a:t>
          </a:r>
          <a:r>
            <a:rPr lang="en-US" sz="3200" b="0" i="0">
              <a:solidFill>
                <a:srgbClr val="7030A0"/>
              </a:solidFill>
              <a:effectLst/>
              <a:latin typeface="+mn-lt"/>
              <a:ea typeface="+mn-ea"/>
              <a:cs typeface="+mn-cs"/>
            </a:rPr>
            <a:t>Comparative Analysis of Depreciation Methods: Straight-Line vs. Diminishing Balance</a:t>
          </a:r>
          <a:endParaRPr lang="en-US" sz="1100">
            <a:solidFill>
              <a:srgbClr val="7030A0"/>
            </a:solidFill>
          </a:endParaRPr>
        </a:p>
      </xdr:txBody>
    </xdr:sp>
    <xdr:clientData/>
  </xdr:twoCellAnchor>
  <xdr:twoCellAnchor>
    <xdr:from>
      <xdr:col>2</xdr:col>
      <xdr:colOff>314325</xdr:colOff>
      <xdr:row>7</xdr:row>
      <xdr:rowOff>57150</xdr:rowOff>
    </xdr:from>
    <xdr:to>
      <xdr:col>26</xdr:col>
      <xdr:colOff>438150</xdr:colOff>
      <xdr:row>36</xdr:row>
      <xdr:rowOff>152400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1533525" y="1390650"/>
          <a:ext cx="14754225" cy="56197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000">
            <a:solidFill>
              <a:srgbClr val="7030A0"/>
            </a:solidFill>
            <a:effectLst/>
          </a:endParaRPr>
        </a:p>
        <a:p>
          <a:r>
            <a:rPr lang="en-US" sz="2000" b="1" i="0">
              <a:solidFill>
                <a:srgbClr val="7030A0"/>
              </a:solidFill>
              <a:effectLst/>
              <a:latin typeface="+mn-lt"/>
              <a:ea typeface="+mn-ea"/>
              <a:cs typeface="+mn-cs"/>
            </a:rPr>
            <a:t>Point</a:t>
          </a:r>
          <a:r>
            <a:rPr lang="en-US" sz="2000" b="1" i="0" baseline="0">
              <a:solidFill>
                <a:srgbClr val="7030A0"/>
              </a:solidFill>
              <a:effectLst/>
              <a:latin typeface="+mn-lt"/>
              <a:ea typeface="+mn-ea"/>
              <a:cs typeface="+mn-cs"/>
            </a:rPr>
            <a:t>s to remember before starting this project:-</a:t>
          </a:r>
          <a:endParaRPr lang="en-US" sz="2000">
            <a:solidFill>
              <a:srgbClr val="7030A0"/>
            </a:solidFill>
            <a:effectLst/>
          </a:endParaRPr>
        </a:p>
        <a:p>
          <a:r>
            <a:rPr lang="en-US" sz="2000" b="1" i="0" baseline="0">
              <a:solidFill>
                <a:srgbClr val="7030A0"/>
              </a:solidFill>
              <a:effectLst/>
              <a:latin typeface="+mn-lt"/>
              <a:ea typeface="+mn-ea"/>
              <a:cs typeface="+mn-cs"/>
            </a:rPr>
            <a:t>Purpose of the project is to give you the fundamental ideas about how Depreciation methods  and terminologies works in Excel so imp thing is to go thorough this documentation very carefully and understand the tems.</a:t>
          </a:r>
          <a:endParaRPr lang="en-US" sz="2000">
            <a:solidFill>
              <a:srgbClr val="7030A0"/>
            </a:solidFill>
            <a:effectLst/>
          </a:endParaRPr>
        </a:p>
        <a:p>
          <a:r>
            <a:rPr lang="en-US" sz="2000" b="1" i="0" baseline="0">
              <a:solidFill>
                <a:srgbClr val="7030A0"/>
              </a:solidFill>
              <a:effectLst/>
              <a:latin typeface="+mn-lt"/>
              <a:ea typeface="+mn-ea"/>
              <a:cs typeface="+mn-cs"/>
            </a:rPr>
            <a:t>1. In Project Worksheets you dataset is already prepared  so you have to find the values and answers for given functions for solution please go through this sheet </a:t>
          </a:r>
          <a:endParaRPr lang="en-US" sz="2000">
            <a:solidFill>
              <a:srgbClr val="7030A0"/>
            </a:solidFill>
            <a:effectLst/>
          </a:endParaRPr>
        </a:p>
        <a:p>
          <a:r>
            <a:rPr lang="en-US" sz="2000" b="1" i="0" baseline="0">
              <a:solidFill>
                <a:srgbClr val="7030A0"/>
              </a:solidFill>
              <a:effectLst/>
              <a:latin typeface="+mn-lt"/>
              <a:ea typeface="+mn-ea"/>
              <a:cs typeface="+mn-cs"/>
            </a:rPr>
            <a:t>2. Kindly read all the documentation attached to this project file very carefully because all the important points for making this projects is given there in this documentation</a:t>
          </a:r>
          <a:endParaRPr lang="en-US" sz="2000">
            <a:solidFill>
              <a:srgbClr val="7030A0"/>
            </a:solidFill>
            <a:effectLst/>
          </a:endParaRPr>
        </a:p>
        <a:p>
          <a:r>
            <a:rPr lang="en-US" sz="2000" b="1" i="0" baseline="0">
              <a:solidFill>
                <a:srgbClr val="7030A0"/>
              </a:solidFill>
              <a:effectLst/>
              <a:latin typeface="+mn-lt"/>
              <a:ea typeface="+mn-ea"/>
              <a:cs typeface="+mn-cs"/>
            </a:rPr>
            <a:t>3. After doing the anlalysis Create a Summary report that what insights and analysis you have find while doing this proects</a:t>
          </a:r>
          <a:endParaRPr lang="en-US" sz="2000">
            <a:solidFill>
              <a:srgbClr val="7030A0"/>
            </a:solidFill>
            <a:effectLst/>
          </a:endParaRP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111124</xdr:colOff>
      <xdr:row>16</xdr:row>
      <xdr:rowOff>133350</xdr:rowOff>
    </xdr:from>
    <xdr:to>
      <xdr:col>17</xdr:col>
      <xdr:colOff>209550</xdr:colOff>
      <xdr:row>30</xdr:row>
      <xdr:rowOff>6350</xdr:rowOff>
    </xdr:to>
    <xdr:graphicFrame macro="">
      <xdr:nvGraphicFramePr>
        <xdr:cNvPr id="2" name="Chart 1">
          <a:extLst>
            <a:ext uri="{FF2B5EF4-FFF2-40B4-BE49-F238E27FC236}">
              <a16:creationId xmlns:a16="http://schemas.microsoft.com/office/drawing/2014/main" id="{FDDABAE4-50CD-C426-0354-C967C9108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2174875</xdr:colOff>
      <xdr:row>1</xdr:row>
      <xdr:rowOff>88900</xdr:rowOff>
    </xdr:from>
    <xdr:to>
      <xdr:col>12</xdr:col>
      <xdr:colOff>130175</xdr:colOff>
      <xdr:row>13</xdr:row>
      <xdr:rowOff>19050</xdr:rowOff>
    </xdr:to>
    <xdr:graphicFrame macro="">
      <xdr:nvGraphicFramePr>
        <xdr:cNvPr id="3" name="Chart 2">
          <a:extLst>
            <a:ext uri="{FF2B5EF4-FFF2-40B4-BE49-F238E27FC236}">
              <a16:creationId xmlns:a16="http://schemas.microsoft.com/office/drawing/2014/main" id="{2641EFD8-99B2-A898-72AE-5001DE4C48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161926</xdr:colOff>
      <xdr:row>24</xdr:row>
      <xdr:rowOff>247651</xdr:rowOff>
    </xdr:from>
    <xdr:to>
      <xdr:col>10</xdr:col>
      <xdr:colOff>333376</xdr:colOff>
      <xdr:row>25</xdr:row>
      <xdr:rowOff>66676</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10934701" y="6686551"/>
          <a:ext cx="171450"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a:p>
          <a:endParaRPr lang="en-US" sz="1100"/>
        </a:p>
        <a:p>
          <a:endParaRPr lang="en-US" sz="1100"/>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vin mathur" refreshedDate="46002.700016435185" createdVersion="8" refreshedVersion="8" minRefreshableVersion="3" recordCount="10" xr:uid="{6575EF0F-527D-40EE-B826-8FFADC915C51}">
  <cacheSource type="worksheet">
    <worksheetSource ref="I2:M12" sheet="Depreciation Calculator"/>
  </cacheSource>
  <cacheFields count="5">
    <cacheField name="Year" numFmtId="0">
      <sharedItems containsSemiMixedTypes="0" containsString="0" containsNumber="1" containsInteger="1" minValue="1" maxValue="10" count="10">
        <n v="1"/>
        <n v="2"/>
        <n v="3"/>
        <n v="4"/>
        <n v="5"/>
        <n v="6"/>
        <n v="7"/>
        <n v="8"/>
        <n v="9"/>
        <n v="10"/>
      </sharedItems>
    </cacheField>
    <cacheField name="SL - Annual Depreciation" numFmtId="4">
      <sharedItems containsSemiMixedTypes="0" containsString="0" containsNumber="1" containsInteger="1" minValue="45000" maxValue="45000" count="1">
        <n v="45000"/>
      </sharedItems>
    </cacheField>
    <cacheField name="SL - Ending Book Value" numFmtId="4">
      <sharedItems containsSemiMixedTypes="0" containsString="0" containsNumber="1" containsInteger="1" minValue="50000" maxValue="455000"/>
    </cacheField>
    <cacheField name="DB - Annual Depreciation" numFmtId="4">
      <sharedItems containsSemiMixedTypes="0" containsString="0" containsNumber="1" minValue="13651.7" maxValue="98629.2" count="10">
        <n v="98629.2"/>
        <n v="79173.77"/>
        <n v="63556.1"/>
        <n v="51019.1"/>
        <n v="40955.199999999997"/>
        <n v="32876.400000000001"/>
        <n v="26391.3"/>
        <n v="21185.4"/>
        <n v="17006.400000000001"/>
        <n v="13651.7"/>
      </sharedItems>
    </cacheField>
    <cacheField name="DB - Ending Book Value" numFmtId="4">
      <sharedItems containsSemiMixedTypes="0" containsString="0" containsNumber="1" minValue="55555.6" maxValue="40137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n v="455000"/>
    <x v="0"/>
    <n v="401371"/>
  </r>
  <r>
    <x v="1"/>
    <x v="0"/>
    <n v="410000"/>
    <x v="1"/>
    <n v="322197"/>
  </r>
  <r>
    <x v="2"/>
    <x v="0"/>
    <n v="365000"/>
    <x v="2"/>
    <n v="258641"/>
  </r>
  <r>
    <x v="3"/>
    <x v="0"/>
    <n v="320000"/>
    <x v="3"/>
    <n v="207622"/>
  </r>
  <r>
    <x v="4"/>
    <x v="0"/>
    <n v="275000"/>
    <x v="4"/>
    <n v="166667"/>
  </r>
  <r>
    <x v="5"/>
    <x v="0"/>
    <n v="230000"/>
    <x v="5"/>
    <n v="133790"/>
  </r>
  <r>
    <x v="6"/>
    <x v="0"/>
    <n v="185000"/>
    <x v="6"/>
    <n v="107399"/>
  </r>
  <r>
    <x v="7"/>
    <x v="0"/>
    <n v="140000"/>
    <x v="7"/>
    <n v="86213.6"/>
  </r>
  <r>
    <x v="8"/>
    <x v="0"/>
    <n v="95000"/>
    <x v="8"/>
    <n v="69207.3"/>
  </r>
  <r>
    <x v="9"/>
    <x v="0"/>
    <n v="50000"/>
    <x v="9"/>
    <n v="5555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07284D-3C6C-4418-9910-C3A0ED40D7B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
  <location ref="A4:A5" firstHeaderRow="1" firstDataRow="1" firstDataCol="0" rowPageCount="2" colPageCount="1"/>
  <pivotFields count="5">
    <pivotField dataField="1" showAll="0">
      <items count="11">
        <item x="0"/>
        <item x="1"/>
        <item x="2"/>
        <item x="3"/>
        <item x="4"/>
        <item x="5"/>
        <item x="6"/>
        <item x="7"/>
        <item x="8"/>
        <item x="9"/>
        <item t="default"/>
      </items>
    </pivotField>
    <pivotField axis="axisPage" numFmtId="4" showAll="0">
      <items count="2">
        <item x="0"/>
        <item t="default"/>
      </items>
    </pivotField>
    <pivotField numFmtId="4" showAll="0"/>
    <pivotField axis="axisPage" numFmtId="4" multipleItemSelectionAllowed="1" showAll="0">
      <items count="11">
        <item x="9"/>
        <item x="8"/>
        <item x="7"/>
        <item x="6"/>
        <item x="5"/>
        <item x="4"/>
        <item x="3"/>
        <item x="2"/>
        <item x="1"/>
        <item x="0"/>
        <item t="default"/>
      </items>
    </pivotField>
    <pivotField numFmtId="4" showAll="0"/>
  </pivotFields>
  <rowItems count="1">
    <i/>
  </rowItems>
  <colItems count="1">
    <i/>
  </colItems>
  <pageFields count="2">
    <pageField fld="1" item="0" hier="-1"/>
    <pageField fld="3" hier="-1"/>
  </pageFields>
  <dataFields count="1">
    <dataField name="Sum of Year"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A5AA09-F2F3-472F-924B-783CB3576C77}" name="Table1" displayName="Table1" ref="A3:E13" totalsRowShown="0" tableBorderDxfId="1">
  <autoFilter ref="A3:E13" xr:uid="{05A5AA09-F2F3-472F-924B-783CB3576C77}"/>
  <tableColumns count="5">
    <tableColumn id="1" xr3:uid="{3E5664C7-8923-46E0-9F63-B27B7A534D83}" name="Year"/>
    <tableColumn id="2" xr3:uid="{0D753EC7-CD43-4723-BFA8-927DEA372E06}" name="SL - Annual Depreciation"/>
    <tableColumn id="4" xr3:uid="{C2C8725C-A77C-400C-B325-B9A551EB453D}" name="DB - Annual Depreciation"/>
    <tableColumn id="5" xr3:uid="{94B20A88-EAAC-4C5E-8414-C66ABEB78A49}" name="DB - Ending Book Value"/>
    <tableColumn id="6" xr3:uid="{B1F9068F-6E00-43F7-87BD-44F3AE8D6B67}" name="SL - Ending Book Valu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C14" workbookViewId="0">
      <selection activeCell="AB19" sqref="AB19"/>
    </sheetView>
  </sheetViews>
  <sheetFormatPr defaultRowHeight="14.4" x14ac:dyDescent="0.3"/>
  <cols>
    <col min="1" max="1" width="9.21875"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66322-F714-4B62-963B-227DC1C6CD13}">
  <dimension ref="A1:G29"/>
  <sheetViews>
    <sheetView tabSelected="1" workbookViewId="0">
      <selection activeCell="G14" sqref="G14"/>
    </sheetView>
  </sheetViews>
  <sheetFormatPr defaultRowHeight="14.4" x14ac:dyDescent="0.3"/>
  <cols>
    <col min="1" max="1" width="8.77734375" bestFit="1" customWidth="1"/>
    <col min="2" max="2" width="23.77734375" bestFit="1" customWidth="1"/>
    <col min="3" max="3" width="24.33203125" bestFit="1" customWidth="1"/>
    <col min="4" max="4" width="22.77734375" bestFit="1" customWidth="1"/>
    <col min="5" max="5" width="16.33203125" customWidth="1"/>
    <col min="6" max="6" width="33.88671875" customWidth="1"/>
    <col min="7" max="7" width="17.21875" customWidth="1"/>
  </cols>
  <sheetData>
    <row r="1" spans="1:5" x14ac:dyDescent="0.3">
      <c r="A1" s="16" t="s">
        <v>26</v>
      </c>
    </row>
    <row r="3" spans="1:5" ht="28.2" thickBot="1" x14ac:dyDescent="0.35">
      <c r="A3" s="49" t="s">
        <v>7</v>
      </c>
      <c r="B3" s="49" t="s">
        <v>20</v>
      </c>
      <c r="C3" s="49" t="s">
        <v>22</v>
      </c>
      <c r="D3" s="49" t="s">
        <v>23</v>
      </c>
      <c r="E3" s="50" t="s">
        <v>21</v>
      </c>
    </row>
    <row r="4" spans="1:5" ht="15" thickBot="1" x14ac:dyDescent="0.35">
      <c r="A4" s="49">
        <v>1</v>
      </c>
      <c r="B4" s="49">
        <v>45000</v>
      </c>
      <c r="C4" s="49">
        <v>98629.2</v>
      </c>
      <c r="D4" s="49">
        <v>401371</v>
      </c>
      <c r="E4" s="51">
        <v>455000</v>
      </c>
    </row>
    <row r="5" spans="1:5" ht="15" thickBot="1" x14ac:dyDescent="0.35">
      <c r="A5" s="49">
        <v>2</v>
      </c>
      <c r="B5" s="49">
        <v>45000</v>
      </c>
      <c r="C5" s="49">
        <v>79173.77</v>
      </c>
      <c r="D5" s="49">
        <v>322197</v>
      </c>
      <c r="E5" s="51">
        <v>410000</v>
      </c>
    </row>
    <row r="6" spans="1:5" ht="15" thickBot="1" x14ac:dyDescent="0.35">
      <c r="A6" s="49">
        <v>3</v>
      </c>
      <c r="B6" s="49">
        <v>45000</v>
      </c>
      <c r="C6" s="49">
        <v>63556.1</v>
      </c>
      <c r="D6" s="49">
        <v>258641</v>
      </c>
      <c r="E6" s="51">
        <v>365000</v>
      </c>
    </row>
    <row r="7" spans="1:5" ht="15" thickBot="1" x14ac:dyDescent="0.35">
      <c r="A7" s="49">
        <v>4</v>
      </c>
      <c r="B7" s="49">
        <v>45000</v>
      </c>
      <c r="C7" s="49">
        <v>51019.1</v>
      </c>
      <c r="D7" s="49">
        <v>207622</v>
      </c>
      <c r="E7" s="51">
        <v>320000</v>
      </c>
    </row>
    <row r="8" spans="1:5" ht="15" thickBot="1" x14ac:dyDescent="0.35">
      <c r="A8" s="49">
        <v>5</v>
      </c>
      <c r="B8" s="49">
        <v>45000</v>
      </c>
      <c r="C8" s="49">
        <v>40955.199999999997</v>
      </c>
      <c r="D8" s="49">
        <v>166667</v>
      </c>
      <c r="E8" s="51">
        <v>275000</v>
      </c>
    </row>
    <row r="9" spans="1:5" ht="15" thickBot="1" x14ac:dyDescent="0.35">
      <c r="A9" s="49">
        <v>6</v>
      </c>
      <c r="B9" s="49">
        <v>45000</v>
      </c>
      <c r="C9" s="49">
        <v>32876.400000000001</v>
      </c>
      <c r="D9" s="49">
        <v>133790</v>
      </c>
      <c r="E9" s="51">
        <v>230000</v>
      </c>
    </row>
    <row r="10" spans="1:5" ht="15" thickBot="1" x14ac:dyDescent="0.35">
      <c r="A10" s="49">
        <v>7</v>
      </c>
      <c r="B10" s="49">
        <v>45000</v>
      </c>
      <c r="C10" s="49">
        <v>26391.3</v>
      </c>
      <c r="D10" s="49">
        <v>107399</v>
      </c>
      <c r="E10" s="51">
        <v>185000</v>
      </c>
    </row>
    <row r="11" spans="1:5" ht="15" thickBot="1" x14ac:dyDescent="0.35">
      <c r="A11" s="49">
        <v>8</v>
      </c>
      <c r="B11" s="49">
        <v>45000</v>
      </c>
      <c r="C11" s="49">
        <v>21185.4</v>
      </c>
      <c r="D11" s="49">
        <v>86213.6</v>
      </c>
      <c r="E11" s="51">
        <v>140000</v>
      </c>
    </row>
    <row r="12" spans="1:5" ht="15" thickBot="1" x14ac:dyDescent="0.35">
      <c r="A12" s="49">
        <v>9</v>
      </c>
      <c r="B12" s="49">
        <v>45000</v>
      </c>
      <c r="C12" s="49">
        <v>17006.400000000001</v>
      </c>
      <c r="D12" s="49">
        <v>69207.3</v>
      </c>
      <c r="E12" s="51">
        <v>95000</v>
      </c>
    </row>
    <row r="13" spans="1:5" x14ac:dyDescent="0.3">
      <c r="A13" s="49">
        <v>10</v>
      </c>
      <c r="B13" s="49">
        <v>45000</v>
      </c>
      <c r="C13" s="49">
        <v>13651.7</v>
      </c>
      <c r="D13" s="49">
        <v>55555.6</v>
      </c>
      <c r="E13" s="52">
        <v>50000</v>
      </c>
    </row>
    <row r="18" spans="1:7" ht="15" thickBot="1" x14ac:dyDescent="0.35"/>
    <row r="19" spans="1:7" ht="28.2" thickBot="1" x14ac:dyDescent="0.35">
      <c r="A19" s="35" t="s">
        <v>7</v>
      </c>
      <c r="B19" s="36" t="s">
        <v>20</v>
      </c>
      <c r="C19" s="45" t="s">
        <v>22</v>
      </c>
      <c r="E19" s="35" t="s">
        <v>7</v>
      </c>
      <c r="F19" s="36" t="s">
        <v>23</v>
      </c>
      <c r="G19" s="37" t="s">
        <v>21</v>
      </c>
    </row>
    <row r="20" spans="1:7" ht="15.6" thickTop="1" thickBot="1" x14ac:dyDescent="0.35">
      <c r="A20" s="38">
        <v>1</v>
      </c>
      <c r="B20" s="14">
        <v>45000</v>
      </c>
      <c r="C20" s="46">
        <v>98629.2</v>
      </c>
      <c r="E20" s="38">
        <v>1</v>
      </c>
      <c r="F20" s="14">
        <v>401371</v>
      </c>
      <c r="G20" s="39">
        <v>455000</v>
      </c>
    </row>
    <row r="21" spans="1:7" ht="15" thickBot="1" x14ac:dyDescent="0.35">
      <c r="A21" s="40">
        <v>2</v>
      </c>
      <c r="B21" s="15">
        <v>45000</v>
      </c>
      <c r="C21" s="47">
        <v>79173.77</v>
      </c>
      <c r="E21" s="40">
        <v>2</v>
      </c>
      <c r="F21" s="15">
        <v>322197</v>
      </c>
      <c r="G21" s="41">
        <v>410000</v>
      </c>
    </row>
    <row r="22" spans="1:7" ht="15" thickBot="1" x14ac:dyDescent="0.35">
      <c r="A22" s="38">
        <v>3</v>
      </c>
      <c r="B22" s="14">
        <v>45000</v>
      </c>
      <c r="C22" s="46">
        <v>63556.1</v>
      </c>
      <c r="E22" s="38">
        <v>3</v>
      </c>
      <c r="F22" s="14">
        <v>258641</v>
      </c>
      <c r="G22" s="39">
        <v>365000</v>
      </c>
    </row>
    <row r="23" spans="1:7" ht="15" thickBot="1" x14ac:dyDescent="0.35">
      <c r="A23" s="40">
        <v>4</v>
      </c>
      <c r="B23" s="15">
        <v>45000</v>
      </c>
      <c r="C23" s="47">
        <v>51019.1</v>
      </c>
      <c r="E23" s="40">
        <v>4</v>
      </c>
      <c r="F23" s="15">
        <v>207622</v>
      </c>
      <c r="G23" s="41">
        <v>320000</v>
      </c>
    </row>
    <row r="24" spans="1:7" ht="15" thickBot="1" x14ac:dyDescent="0.35">
      <c r="A24" s="38">
        <v>5</v>
      </c>
      <c r="B24" s="14">
        <v>45000</v>
      </c>
      <c r="C24" s="46">
        <v>40955.199999999997</v>
      </c>
      <c r="E24" s="38">
        <v>5</v>
      </c>
      <c r="F24" s="14">
        <v>166667</v>
      </c>
      <c r="G24" s="39">
        <v>275000</v>
      </c>
    </row>
    <row r="25" spans="1:7" ht="15" thickBot="1" x14ac:dyDescent="0.35">
      <c r="A25" s="40">
        <v>6</v>
      </c>
      <c r="B25" s="15">
        <v>45000</v>
      </c>
      <c r="C25" s="47">
        <v>32876.400000000001</v>
      </c>
      <c r="E25" s="40">
        <v>6</v>
      </c>
      <c r="F25" s="15">
        <v>133790</v>
      </c>
      <c r="G25" s="41">
        <v>230000</v>
      </c>
    </row>
    <row r="26" spans="1:7" ht="15" thickBot="1" x14ac:dyDescent="0.35">
      <c r="A26" s="38">
        <v>7</v>
      </c>
      <c r="B26" s="14">
        <v>45000</v>
      </c>
      <c r="C26" s="46">
        <v>26391.3</v>
      </c>
      <c r="E26" s="38">
        <v>7</v>
      </c>
      <c r="F26" s="14">
        <v>107399</v>
      </c>
      <c r="G26" s="39">
        <v>185000</v>
      </c>
    </row>
    <row r="27" spans="1:7" ht="15" thickBot="1" x14ac:dyDescent="0.35">
      <c r="A27" s="40">
        <v>8</v>
      </c>
      <c r="B27" s="15">
        <v>45000</v>
      </c>
      <c r="C27" s="47">
        <v>21185.4</v>
      </c>
      <c r="E27" s="40">
        <v>8</v>
      </c>
      <c r="F27" s="15">
        <v>86213.6</v>
      </c>
      <c r="G27" s="41">
        <v>140000</v>
      </c>
    </row>
    <row r="28" spans="1:7" ht="15" thickBot="1" x14ac:dyDescent="0.35">
      <c r="A28" s="38">
        <v>9</v>
      </c>
      <c r="B28" s="14">
        <v>45000</v>
      </c>
      <c r="C28" s="46">
        <v>17006.400000000001</v>
      </c>
      <c r="E28" s="38">
        <v>9</v>
      </c>
      <c r="F28" s="14">
        <v>69207.3</v>
      </c>
      <c r="G28" s="39">
        <v>95000</v>
      </c>
    </row>
    <row r="29" spans="1:7" ht="15" thickBot="1" x14ac:dyDescent="0.35">
      <c r="A29" s="42">
        <v>10</v>
      </c>
      <c r="B29" s="43">
        <v>45000</v>
      </c>
      <c r="C29" s="48">
        <v>13651.7</v>
      </c>
      <c r="E29" s="42">
        <v>10</v>
      </c>
      <c r="F29" s="43">
        <v>55555.6</v>
      </c>
      <c r="G29" s="44">
        <v>50000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FFC9-A42F-4ED0-9F27-09F6D39591A4}">
  <dimension ref="A1:B5"/>
  <sheetViews>
    <sheetView workbookViewId="0">
      <selection activeCell="A5" sqref="A5"/>
    </sheetView>
  </sheetViews>
  <sheetFormatPr defaultRowHeight="14.4" x14ac:dyDescent="0.3"/>
  <cols>
    <col min="1" max="1" width="21.6640625" bestFit="1" customWidth="1"/>
    <col min="2" max="2" width="9" bestFit="1" customWidth="1"/>
    <col min="3" max="10" width="21.33203125" bestFit="1" customWidth="1"/>
    <col min="11" max="12" width="10.77734375" bestFit="1" customWidth="1"/>
  </cols>
  <sheetData>
    <row r="1" spans="1:2" x14ac:dyDescent="0.3">
      <c r="A1" s="13" t="s">
        <v>20</v>
      </c>
      <c r="B1" s="34">
        <v>45000</v>
      </c>
    </row>
    <row r="2" spans="1:2" x14ac:dyDescent="0.3">
      <c r="A2" s="13" t="s">
        <v>22</v>
      </c>
      <c r="B2" t="s">
        <v>25</v>
      </c>
    </row>
    <row r="4" spans="1:2" x14ac:dyDescent="0.3">
      <c r="A4" t="s">
        <v>24</v>
      </c>
    </row>
    <row r="5" spans="1:2" x14ac:dyDescent="0.3">
      <c r="A5" s="33">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6"/>
  <sheetViews>
    <sheetView topLeftCell="B1" workbookViewId="0">
      <selection activeCell="L4" sqref="L4"/>
    </sheetView>
  </sheetViews>
  <sheetFormatPr defaultColWidth="8.77734375" defaultRowHeight="18" x14ac:dyDescent="0.3"/>
  <cols>
    <col min="1" max="1" width="3.21875" style="1" customWidth="1"/>
    <col min="2" max="2" width="12.5546875" style="1" customWidth="1"/>
    <col min="3" max="3" width="79.77734375" style="1" customWidth="1"/>
    <col min="4" max="4" width="19.21875" style="1" bestFit="1" customWidth="1"/>
    <col min="5" max="5" width="3.21875" style="1" customWidth="1"/>
    <col min="6" max="6" width="17.21875" style="1" bestFit="1" customWidth="1"/>
    <col min="7" max="7" width="9" style="1" bestFit="1" customWidth="1"/>
    <col min="8" max="9" width="8.77734375" style="1"/>
    <col min="10" max="10" width="14.109375" style="1" customWidth="1"/>
    <col min="11" max="11" width="14.44140625" style="1" customWidth="1"/>
    <col min="12" max="12" width="17.77734375" style="1" customWidth="1"/>
    <col min="13" max="13" width="16.77734375" style="1" customWidth="1"/>
    <col min="14" max="16384" width="8.77734375" style="1"/>
  </cols>
  <sheetData>
    <row r="1" spans="1:13" ht="10.050000000000001" customHeight="1" thickBot="1" x14ac:dyDescent="0.35">
      <c r="A1" s="9"/>
      <c r="B1" s="9"/>
      <c r="C1" s="9"/>
      <c r="D1" s="9"/>
      <c r="E1" s="9"/>
    </row>
    <row r="2" spans="1:13" ht="42.6" thickTop="1" thickBot="1" x14ac:dyDescent="0.35">
      <c r="A2" s="9"/>
      <c r="B2" s="23"/>
      <c r="C2" s="21" t="s">
        <v>19</v>
      </c>
      <c r="D2" s="21"/>
      <c r="E2" s="9"/>
      <c r="I2" s="30" t="s">
        <v>7</v>
      </c>
      <c r="J2" s="30" t="s">
        <v>20</v>
      </c>
      <c r="K2" s="30" t="s">
        <v>21</v>
      </c>
      <c r="L2" s="30" t="s">
        <v>22</v>
      </c>
      <c r="M2" s="30" t="s">
        <v>23</v>
      </c>
    </row>
    <row r="3" spans="1:13" ht="25.8" thickTop="1" thickBot="1" x14ac:dyDescent="0.35">
      <c r="A3" s="9"/>
      <c r="B3" s="24"/>
      <c r="C3" s="22" t="s">
        <v>8</v>
      </c>
      <c r="D3" s="22"/>
      <c r="E3" s="9"/>
      <c r="I3" s="31">
        <v>1</v>
      </c>
      <c r="J3" s="12">
        <v>45000</v>
      </c>
      <c r="K3" s="12">
        <v>455000</v>
      </c>
      <c r="L3" s="12">
        <v>98629.2</v>
      </c>
      <c r="M3" s="12">
        <v>401371</v>
      </c>
    </row>
    <row r="4" spans="1:13" ht="19.2" thickTop="1" thickBot="1" x14ac:dyDescent="0.35">
      <c r="A4" s="9"/>
      <c r="B4" s="5"/>
      <c r="C4" s="5"/>
      <c r="D4" s="5"/>
      <c r="E4" s="9"/>
      <c r="I4" s="31">
        <v>2</v>
      </c>
      <c r="J4" s="12">
        <v>45000</v>
      </c>
      <c r="K4" s="12">
        <v>410000</v>
      </c>
      <c r="L4" s="12">
        <v>79173.77</v>
      </c>
      <c r="M4" s="12">
        <v>322197</v>
      </c>
    </row>
    <row r="5" spans="1:13" ht="25.8" thickTop="1" thickBot="1" x14ac:dyDescent="0.35">
      <c r="A5" s="9"/>
      <c r="B5" s="19" t="s">
        <v>17</v>
      </c>
      <c r="C5" s="19"/>
      <c r="D5" s="19"/>
      <c r="E5" s="9"/>
      <c r="I5" s="31">
        <v>3</v>
      </c>
      <c r="J5" s="12">
        <v>45000</v>
      </c>
      <c r="K5" s="12">
        <v>365000</v>
      </c>
      <c r="L5" s="12">
        <v>63556.1</v>
      </c>
      <c r="M5" s="12">
        <v>258641</v>
      </c>
    </row>
    <row r="6" spans="1:13" ht="19.2" thickTop="1" thickBot="1" x14ac:dyDescent="0.35">
      <c r="A6" s="9"/>
      <c r="B6" s="17" t="s">
        <v>11</v>
      </c>
      <c r="C6" s="18"/>
      <c r="D6" s="10">
        <v>450000</v>
      </c>
      <c r="E6" s="9"/>
      <c r="I6" s="31">
        <v>4</v>
      </c>
      <c r="J6" s="12">
        <v>45000</v>
      </c>
      <c r="K6" s="12">
        <v>320000</v>
      </c>
      <c r="L6" s="12">
        <v>51019.1</v>
      </c>
      <c r="M6" s="12">
        <v>207622</v>
      </c>
    </row>
    <row r="7" spans="1:13" ht="19.2" thickTop="1" thickBot="1" x14ac:dyDescent="0.35">
      <c r="A7" s="9"/>
      <c r="B7" s="17" t="s">
        <v>13</v>
      </c>
      <c r="C7" s="18"/>
      <c r="D7" s="10">
        <v>50000</v>
      </c>
      <c r="E7" s="9"/>
      <c r="I7" s="31">
        <v>5</v>
      </c>
      <c r="J7" s="12">
        <v>45000</v>
      </c>
      <c r="K7" s="12">
        <v>275000</v>
      </c>
      <c r="L7" s="12">
        <v>40955.199999999997</v>
      </c>
      <c r="M7" s="12">
        <v>166667</v>
      </c>
    </row>
    <row r="8" spans="1:13" ht="19.2" thickTop="1" thickBot="1" x14ac:dyDescent="0.35">
      <c r="A8" s="9"/>
      <c r="B8" s="17" t="s">
        <v>0</v>
      </c>
      <c r="C8" s="18"/>
      <c r="D8" s="4"/>
      <c r="E8" s="9"/>
      <c r="F8" s="27">
        <f>D6+D7</f>
        <v>500000</v>
      </c>
      <c r="I8" s="31">
        <v>6</v>
      </c>
      <c r="J8" s="12">
        <v>45000</v>
      </c>
      <c r="K8" s="12">
        <v>230000</v>
      </c>
      <c r="L8" s="12">
        <v>32876.400000000001</v>
      </c>
      <c r="M8" s="12">
        <v>133790</v>
      </c>
    </row>
    <row r="9" spans="1:13" ht="19.2" thickTop="1" thickBot="1" x14ac:dyDescent="0.35">
      <c r="A9" s="9"/>
      <c r="B9" s="17" t="s">
        <v>1</v>
      </c>
      <c r="C9" s="18"/>
      <c r="D9" s="10">
        <v>50000</v>
      </c>
      <c r="E9" s="9"/>
      <c r="I9" s="31">
        <v>7</v>
      </c>
      <c r="J9" s="12">
        <v>45000</v>
      </c>
      <c r="K9" s="12">
        <v>185000</v>
      </c>
      <c r="L9" s="12">
        <v>26391.3</v>
      </c>
      <c r="M9" s="12">
        <v>107399</v>
      </c>
    </row>
    <row r="10" spans="1:13" ht="19.2" thickTop="1" thickBot="1" x14ac:dyDescent="0.35">
      <c r="A10" s="9"/>
      <c r="B10" s="17" t="s">
        <v>2</v>
      </c>
      <c r="C10" s="18"/>
      <c r="D10" s="11">
        <v>10</v>
      </c>
      <c r="E10" s="9"/>
      <c r="I10" s="31">
        <v>8</v>
      </c>
      <c r="J10" s="12">
        <v>45000</v>
      </c>
      <c r="K10" s="12">
        <v>140000</v>
      </c>
      <c r="L10" s="12">
        <v>21185.4</v>
      </c>
      <c r="M10" s="12">
        <v>86213.6</v>
      </c>
    </row>
    <row r="11" spans="1:13" ht="19.2" thickTop="1" thickBot="1" x14ac:dyDescent="0.35">
      <c r="A11" s="9"/>
      <c r="B11" s="20" t="s">
        <v>9</v>
      </c>
      <c r="C11" s="20"/>
      <c r="D11" s="4" t="str">
        <f>IF(D8="", "", SLN($D$8,$D$9,$D$10))</f>
        <v/>
      </c>
      <c r="E11" s="9"/>
      <c r="F11" s="28">
        <f>F8-D9/D10</f>
        <v>495000</v>
      </c>
      <c r="I11" s="31">
        <v>9</v>
      </c>
      <c r="J11" s="12">
        <v>45000</v>
      </c>
      <c r="K11" s="12">
        <v>95000</v>
      </c>
      <c r="L11" s="12">
        <v>17006.400000000001</v>
      </c>
      <c r="M11" s="12">
        <v>69207.3</v>
      </c>
    </row>
    <row r="12" spans="1:13" ht="19.2" thickTop="1" thickBot="1" x14ac:dyDescent="0.35">
      <c r="A12" s="9"/>
      <c r="B12" s="20" t="s">
        <v>12</v>
      </c>
      <c r="C12" s="20"/>
      <c r="D12" s="6" t="str">
        <f>IFERROR(D11/D8,"")</f>
        <v/>
      </c>
      <c r="E12" s="9"/>
      <c r="F12" s="28">
        <f>F11-F8</f>
        <v>-5000</v>
      </c>
      <c r="I12" s="31">
        <v>10</v>
      </c>
      <c r="J12" s="12">
        <v>45000</v>
      </c>
      <c r="K12" s="12">
        <v>50000</v>
      </c>
      <c r="L12" s="12">
        <v>13651.7</v>
      </c>
      <c r="M12" s="12">
        <v>55555.6</v>
      </c>
    </row>
    <row r="13" spans="1:13" ht="19.2" thickTop="1" thickBot="1" x14ac:dyDescent="0.35">
      <c r="A13" s="9"/>
      <c r="B13" s="17" t="s">
        <v>5</v>
      </c>
      <c r="C13" s="18"/>
      <c r="D13" s="3" t="str">
        <f>IF(D8="", "", D11*D10)</f>
        <v/>
      </c>
      <c r="E13" s="9"/>
      <c r="F13" s="28">
        <f>F11*D10</f>
        <v>4950000</v>
      </c>
    </row>
    <row r="14" spans="1:13" ht="19.2" thickTop="1" thickBot="1" x14ac:dyDescent="0.35">
      <c r="A14" s="9"/>
      <c r="B14" s="17" t="s">
        <v>4</v>
      </c>
      <c r="C14" s="18"/>
      <c r="D14" s="3" t="str">
        <f>IF(D8="", "", D8-D13)</f>
        <v/>
      </c>
      <c r="E14" s="9"/>
      <c r="F14" s="28">
        <f>D9</f>
        <v>50000</v>
      </c>
    </row>
    <row r="15" spans="1:13" ht="19.2" thickTop="1" thickBot="1" x14ac:dyDescent="0.35">
      <c r="A15" s="9"/>
      <c r="B15" s="17" t="s">
        <v>6</v>
      </c>
      <c r="C15" s="18"/>
      <c r="D15" s="3" t="str">
        <f>IF(D8="", "", D9-D14)</f>
        <v/>
      </c>
      <c r="E15" s="9"/>
      <c r="F15" s="29">
        <v>0</v>
      </c>
    </row>
    <row r="16" spans="1:13" ht="19.2" thickTop="1" thickBot="1" x14ac:dyDescent="0.35">
      <c r="A16" s="9"/>
      <c r="B16" s="5"/>
      <c r="C16" s="5"/>
      <c r="D16" s="5"/>
      <c r="E16" s="9"/>
    </row>
    <row r="17" spans="1:6" ht="25.8" thickTop="1" thickBot="1" x14ac:dyDescent="0.35">
      <c r="A17" s="9"/>
      <c r="B17" s="19" t="s">
        <v>16</v>
      </c>
      <c r="C17" s="19"/>
      <c r="D17" s="19"/>
      <c r="E17" s="9"/>
    </row>
    <row r="18" spans="1:6" ht="19.05" customHeight="1" thickTop="1" thickBot="1" x14ac:dyDescent="0.35">
      <c r="A18" s="9"/>
      <c r="B18" s="20" t="s">
        <v>11</v>
      </c>
      <c r="C18" s="20"/>
      <c r="D18" s="10">
        <v>450000</v>
      </c>
      <c r="E18" s="9"/>
    </row>
    <row r="19" spans="1:6" ht="19.05" customHeight="1" thickTop="1" thickBot="1" x14ac:dyDescent="0.35">
      <c r="A19" s="9"/>
      <c r="B19" s="20" t="s">
        <v>14</v>
      </c>
      <c r="C19" s="20"/>
      <c r="D19" s="10">
        <v>50000</v>
      </c>
      <c r="E19" s="9"/>
    </row>
    <row r="20" spans="1:6" ht="19.05" customHeight="1" thickTop="1" thickBot="1" x14ac:dyDescent="0.35">
      <c r="A20" s="9"/>
      <c r="B20" s="20" t="s">
        <v>0</v>
      </c>
      <c r="C20" s="20"/>
      <c r="D20" s="4"/>
      <c r="E20" s="9"/>
      <c r="F20" s="27">
        <f>D18+D19</f>
        <v>500000</v>
      </c>
    </row>
    <row r="21" spans="1:6" ht="19.05" customHeight="1" thickTop="1" thickBot="1" x14ac:dyDescent="0.35">
      <c r="A21" s="9"/>
      <c r="B21" s="20" t="s">
        <v>1</v>
      </c>
      <c r="C21" s="20"/>
      <c r="D21" s="10">
        <v>50000</v>
      </c>
      <c r="E21" s="9"/>
    </row>
    <row r="22" spans="1:6" ht="19.05" customHeight="1" thickTop="1" thickBot="1" x14ac:dyDescent="0.35">
      <c r="A22" s="9"/>
      <c r="B22" s="20" t="s">
        <v>2</v>
      </c>
      <c r="C22" s="20"/>
      <c r="D22" s="11">
        <v>10</v>
      </c>
      <c r="E22" s="9"/>
    </row>
    <row r="23" spans="1:6" ht="19.05" customHeight="1" thickTop="1" thickBot="1" x14ac:dyDescent="0.35">
      <c r="A23" s="9"/>
      <c r="B23" s="25" t="s">
        <v>10</v>
      </c>
      <c r="C23" s="25"/>
      <c r="D23" s="6" t="str">
        <f>IF(D20="","",1-(D21/D20)^(1/D22))</f>
        <v/>
      </c>
      <c r="E23" s="9"/>
      <c r="F23" s="32">
        <f xml:space="preserve"> (1 - (D9/D6)^(1/D10)) * 100</f>
        <v>19.72584382397693</v>
      </c>
    </row>
    <row r="24" spans="1:6" ht="24" thickTop="1" thickBot="1" x14ac:dyDescent="0.35">
      <c r="A24" s="9"/>
      <c r="B24" s="26" t="s">
        <v>15</v>
      </c>
      <c r="C24" s="26"/>
      <c r="D24" s="26"/>
      <c r="E24" s="9"/>
    </row>
    <row r="25" spans="1:6" ht="19.2" thickTop="1" thickBot="1" x14ac:dyDescent="0.35">
      <c r="A25" s="9"/>
      <c r="B25" s="7" t="s">
        <v>7</v>
      </c>
      <c r="C25" s="7" t="s">
        <v>18</v>
      </c>
      <c r="D25" s="7" t="s">
        <v>3</v>
      </c>
      <c r="E25" s="9"/>
    </row>
    <row r="26" spans="1:6" ht="19.2" thickTop="1" thickBot="1" x14ac:dyDescent="0.35">
      <c r="A26" s="9"/>
      <c r="B26" s="2">
        <v>1</v>
      </c>
      <c r="C26" s="8" t="str">
        <f>IFERROR(IF(D26&gt;$D$21, (D26*$D$23), ""),"")</f>
        <v/>
      </c>
      <c r="D26" s="8"/>
      <c r="E26" s="9"/>
    </row>
    <row r="27" spans="1:6" ht="19.2" thickTop="1" thickBot="1" x14ac:dyDescent="0.35">
      <c r="A27" s="9"/>
      <c r="B27" s="2">
        <v>2</v>
      </c>
      <c r="C27" s="8" t="str">
        <f t="shared" ref="C27:C45" si="0">IFERROR(IF(D27&gt;$D$21, (D27*$D$23), ""),"")</f>
        <v/>
      </c>
      <c r="D27" s="8" t="str">
        <f t="shared" ref="D27:D45" si="1">IFERROR(D26-C26, "")</f>
        <v/>
      </c>
      <c r="E27" s="9"/>
    </row>
    <row r="28" spans="1:6" ht="19.2" thickTop="1" thickBot="1" x14ac:dyDescent="0.35">
      <c r="A28" s="9"/>
      <c r="B28" s="2">
        <v>3</v>
      </c>
      <c r="C28" s="8" t="str">
        <f t="shared" si="0"/>
        <v/>
      </c>
      <c r="D28" s="8" t="str">
        <f t="shared" si="1"/>
        <v/>
      </c>
      <c r="E28" s="9"/>
    </row>
    <row r="29" spans="1:6" ht="19.2" thickTop="1" thickBot="1" x14ac:dyDescent="0.35">
      <c r="A29" s="9"/>
      <c r="B29" s="2"/>
      <c r="C29" s="8" t="str">
        <f t="shared" si="0"/>
        <v/>
      </c>
      <c r="D29" s="8" t="str">
        <f t="shared" si="1"/>
        <v/>
      </c>
      <c r="E29" s="9"/>
    </row>
    <row r="30" spans="1:6" ht="19.2" thickTop="1" thickBot="1" x14ac:dyDescent="0.35">
      <c r="A30" s="9"/>
      <c r="B30" s="2"/>
      <c r="C30" s="8" t="str">
        <f t="shared" si="0"/>
        <v/>
      </c>
      <c r="D30" s="8" t="str">
        <f t="shared" si="1"/>
        <v/>
      </c>
      <c r="E30" s="9"/>
    </row>
    <row r="31" spans="1:6" ht="19.2" thickTop="1" thickBot="1" x14ac:dyDescent="0.35">
      <c r="A31" s="9"/>
      <c r="B31" s="2"/>
      <c r="C31" s="8" t="str">
        <f t="shared" si="0"/>
        <v/>
      </c>
      <c r="D31" s="8" t="str">
        <f t="shared" si="1"/>
        <v/>
      </c>
      <c r="E31" s="9"/>
    </row>
    <row r="32" spans="1:6" ht="19.2" thickTop="1" thickBot="1" x14ac:dyDescent="0.35">
      <c r="A32" s="9"/>
      <c r="B32" s="2"/>
      <c r="C32" s="8" t="str">
        <f t="shared" si="0"/>
        <v/>
      </c>
      <c r="D32" s="8" t="str">
        <f t="shared" si="1"/>
        <v/>
      </c>
      <c r="E32" s="9"/>
    </row>
    <row r="33" spans="1:5" ht="19.2" thickTop="1" thickBot="1" x14ac:dyDescent="0.35">
      <c r="A33" s="9"/>
      <c r="B33" s="2"/>
      <c r="C33" s="8" t="str">
        <f t="shared" si="0"/>
        <v/>
      </c>
      <c r="D33" s="8" t="str">
        <f t="shared" si="1"/>
        <v/>
      </c>
      <c r="E33" s="9"/>
    </row>
    <row r="34" spans="1:5" ht="19.2" thickTop="1" thickBot="1" x14ac:dyDescent="0.35">
      <c r="A34" s="9"/>
      <c r="B34" s="2"/>
      <c r="C34" s="8" t="str">
        <f t="shared" si="0"/>
        <v/>
      </c>
      <c r="D34" s="8" t="str">
        <f t="shared" si="1"/>
        <v/>
      </c>
      <c r="E34" s="9"/>
    </row>
    <row r="35" spans="1:5" ht="19.2" thickTop="1" thickBot="1" x14ac:dyDescent="0.35">
      <c r="A35" s="9"/>
      <c r="B35" s="2"/>
      <c r="C35" s="8" t="str">
        <f t="shared" si="0"/>
        <v/>
      </c>
      <c r="D35" s="8" t="str">
        <f t="shared" si="1"/>
        <v/>
      </c>
      <c r="E35" s="9"/>
    </row>
    <row r="36" spans="1:5" ht="19.2" thickTop="1" thickBot="1" x14ac:dyDescent="0.35">
      <c r="A36" s="9"/>
      <c r="B36" s="2"/>
      <c r="C36" s="8" t="str">
        <f t="shared" si="0"/>
        <v/>
      </c>
      <c r="D36" s="8" t="str">
        <f t="shared" si="1"/>
        <v/>
      </c>
      <c r="E36" s="9"/>
    </row>
    <row r="37" spans="1:5" ht="19.2" thickTop="1" thickBot="1" x14ac:dyDescent="0.35">
      <c r="A37" s="9"/>
      <c r="B37" s="2"/>
      <c r="C37" s="8" t="str">
        <f t="shared" si="0"/>
        <v/>
      </c>
      <c r="D37" s="8" t="str">
        <f t="shared" si="1"/>
        <v/>
      </c>
      <c r="E37" s="9"/>
    </row>
    <row r="38" spans="1:5" ht="19.2" thickTop="1" thickBot="1" x14ac:dyDescent="0.35">
      <c r="A38" s="9"/>
      <c r="B38" s="2"/>
      <c r="C38" s="8" t="str">
        <f t="shared" si="0"/>
        <v/>
      </c>
      <c r="D38" s="8" t="str">
        <f t="shared" si="1"/>
        <v/>
      </c>
      <c r="E38" s="9"/>
    </row>
    <row r="39" spans="1:5" ht="19.2" thickTop="1" thickBot="1" x14ac:dyDescent="0.35">
      <c r="A39" s="9"/>
      <c r="B39" s="2"/>
      <c r="C39" s="8" t="str">
        <f t="shared" si="0"/>
        <v/>
      </c>
      <c r="D39" s="8" t="str">
        <f t="shared" si="1"/>
        <v/>
      </c>
      <c r="E39" s="9"/>
    </row>
    <row r="40" spans="1:5" ht="19.2" thickTop="1" thickBot="1" x14ac:dyDescent="0.35">
      <c r="A40" s="9"/>
      <c r="B40" s="2"/>
      <c r="C40" s="8" t="str">
        <f t="shared" si="0"/>
        <v/>
      </c>
      <c r="D40" s="8" t="str">
        <f t="shared" si="1"/>
        <v/>
      </c>
      <c r="E40" s="9"/>
    </row>
    <row r="41" spans="1:5" ht="19.2" thickTop="1" thickBot="1" x14ac:dyDescent="0.35">
      <c r="A41" s="9"/>
      <c r="B41" s="2"/>
      <c r="C41" s="8" t="str">
        <f t="shared" si="0"/>
        <v/>
      </c>
      <c r="D41" s="8" t="str">
        <f t="shared" si="1"/>
        <v/>
      </c>
      <c r="E41" s="9"/>
    </row>
    <row r="42" spans="1:5" ht="19.2" thickTop="1" thickBot="1" x14ac:dyDescent="0.35">
      <c r="A42" s="9"/>
      <c r="B42" s="2"/>
      <c r="C42" s="8" t="str">
        <f t="shared" si="0"/>
        <v/>
      </c>
      <c r="D42" s="8" t="str">
        <f t="shared" si="1"/>
        <v/>
      </c>
      <c r="E42" s="9"/>
    </row>
    <row r="43" spans="1:5" ht="19.2" thickTop="1" thickBot="1" x14ac:dyDescent="0.35">
      <c r="A43" s="9"/>
      <c r="B43" s="2"/>
      <c r="C43" s="8" t="str">
        <f t="shared" si="0"/>
        <v/>
      </c>
      <c r="D43" s="8" t="str">
        <f t="shared" si="1"/>
        <v/>
      </c>
      <c r="E43" s="9"/>
    </row>
    <row r="44" spans="1:5" ht="19.2" thickTop="1" thickBot="1" x14ac:dyDescent="0.35">
      <c r="A44" s="9"/>
      <c r="B44" s="2"/>
      <c r="C44" s="8" t="str">
        <f t="shared" si="0"/>
        <v/>
      </c>
      <c r="D44" s="8" t="str">
        <f t="shared" si="1"/>
        <v/>
      </c>
      <c r="E44" s="9"/>
    </row>
    <row r="45" spans="1:5" ht="19.2" thickTop="1" thickBot="1" x14ac:dyDescent="0.35">
      <c r="A45" s="9"/>
      <c r="B45" s="2"/>
      <c r="C45" s="8" t="str">
        <f t="shared" si="0"/>
        <v/>
      </c>
      <c r="D45" s="8" t="str">
        <f t="shared" si="1"/>
        <v/>
      </c>
      <c r="E45" s="9"/>
    </row>
    <row r="46" spans="1:5" ht="18.600000000000001" thickTop="1" x14ac:dyDescent="0.3">
      <c r="A46" s="9"/>
      <c r="B46" s="9"/>
      <c r="C46" s="9"/>
      <c r="D46" s="9"/>
      <c r="E46" s="9"/>
    </row>
  </sheetData>
  <mergeCells count="22">
    <mergeCell ref="B23:C23"/>
    <mergeCell ref="B24:D24"/>
    <mergeCell ref="B12:C12"/>
    <mergeCell ref="B18:C18"/>
    <mergeCell ref="B19:C19"/>
    <mergeCell ref="B20:C20"/>
    <mergeCell ref="B21:C21"/>
    <mergeCell ref="B22:C22"/>
    <mergeCell ref="C2:D2"/>
    <mergeCell ref="C3:D3"/>
    <mergeCell ref="B2:B3"/>
    <mergeCell ref="B6:C6"/>
    <mergeCell ref="B7:C7"/>
    <mergeCell ref="B5:D5"/>
    <mergeCell ref="B8:C8"/>
    <mergeCell ref="B9:C9"/>
    <mergeCell ref="B10:C10"/>
    <mergeCell ref="B17:D17"/>
    <mergeCell ref="B11:C11"/>
    <mergeCell ref="B13:C13"/>
    <mergeCell ref="B14:C14"/>
    <mergeCell ref="B15:C15"/>
  </mergeCells>
  <printOptions horizontalCentered="1" verticalCentered="1"/>
  <pageMargins left="0.19685039370078741" right="0.19685039370078741" top="0.19685039370078741" bottom="0.19685039370078741" header="0.31496062992125984" footer="0.31496062992125984"/>
  <pageSetup paperSize="9" orientation="portrait" horizontalDpi="30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Information</vt:lpstr>
      <vt:lpstr>Detail1</vt:lpstr>
      <vt:lpstr>Sheet1</vt:lpstr>
      <vt:lpstr>Depreciation Calculator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Fahim;ExcelDataPro</dc:creator>
  <cp:keywords>Depreciation Calculator Excel Template;www.ExcelDataPro.com</cp:keywords>
  <cp:lastModifiedBy>Anil Kukade</cp:lastModifiedBy>
  <cp:lastPrinted>2019-12-30T11:34:18Z</cp:lastPrinted>
  <dcterms:created xsi:type="dcterms:W3CDTF">2019-12-30T10:28:43Z</dcterms:created>
  <dcterms:modified xsi:type="dcterms:W3CDTF">2026-06-25T19:11:27Z</dcterms:modified>
</cp:coreProperties>
</file>